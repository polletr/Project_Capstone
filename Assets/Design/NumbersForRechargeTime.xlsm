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D:\UnityProjects\Project_Capstone\Assets\Design\"/>
    </mc:Choice>
  </mc:AlternateContent>
  <xr:revisionPtr revIDLastSave="0" documentId="8_{CB91371F-2CC0-481F-96C8-CE5FBC497A14}" xr6:coauthVersionLast="47" xr6:coauthVersionMax="47" xr10:uidLastSave="{00000000-0000-0000-0000-000000000000}"/>
  <bookViews>
    <workbookView xWindow="-108" yWindow="-108" windowWidth="23256" windowHeight="12456" xr2:uid="{95C7108E-D6B4-4B2D-99F2-47FAB7B12A69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B33" i="1"/>
  <c r="C23" i="1"/>
  <c r="B23" i="1"/>
  <c r="C27" i="1"/>
  <c r="C26" i="1"/>
  <c r="C29" i="1" s="1"/>
  <c r="C30" i="1" s="1"/>
  <c r="B27" i="1"/>
  <c r="B26" i="1"/>
  <c r="B29" i="1" s="1"/>
  <c r="B30" i="1" s="1"/>
  <c r="C16" i="1"/>
  <c r="B16" i="1"/>
  <c r="C1" i="1"/>
  <c r="C17" i="1"/>
  <c r="B17" i="1"/>
  <c r="C31" i="1" l="1"/>
  <c r="C33" i="1" s="1"/>
  <c r="B19" i="1"/>
  <c r="C19" i="1"/>
  <c r="C20" i="1" l="1"/>
  <c r="C21" i="1" s="1"/>
  <c r="B20" i="1"/>
  <c r="B21" i="1" s="1"/>
  <c r="B31" i="1"/>
</calcChain>
</file>

<file path=xl/sharedStrings.xml><?xml version="1.0" encoding="utf-8"?>
<sst xmlns="http://schemas.openxmlformats.org/spreadsheetml/2006/main" count="31" uniqueCount="26">
  <si>
    <t>Base Battery Life</t>
  </si>
  <si>
    <t>Amount of Batteries</t>
  </si>
  <si>
    <t>Total Battery Life</t>
  </si>
  <si>
    <t>Fixed Increased Amount</t>
  </si>
  <si>
    <t>Challenge 1</t>
  </si>
  <si>
    <t>Stun Ability</t>
  </si>
  <si>
    <t>Enemy</t>
  </si>
  <si>
    <t>Stun Ability Cost</t>
  </si>
  <si>
    <t>Minutes of Light</t>
  </si>
  <si>
    <t>Challenge 2</t>
  </si>
  <si>
    <t>Move Ability Cost</t>
  </si>
  <si>
    <t>MoveAbility</t>
  </si>
  <si>
    <t>Use of Flashlight per second</t>
  </si>
  <si>
    <t>Seconds of Battery Left</t>
  </si>
  <si>
    <t>Battery Addition</t>
  </si>
  <si>
    <t>Best Scenario</t>
  </si>
  <si>
    <t>Best Scenario Battery Left</t>
  </si>
  <si>
    <t>Worst Scenario</t>
  </si>
  <si>
    <t>Times MoveAbility performed (BEST)</t>
  </si>
  <si>
    <t>Times Stun Ability Performed (BEST)</t>
  </si>
  <si>
    <t>Times MoveAbility to be performed (WORST)</t>
  </si>
  <si>
    <t>Times Stun Ability Performed (WORST)</t>
  </si>
  <si>
    <t>Min Time</t>
  </si>
  <si>
    <t>Max Time</t>
  </si>
  <si>
    <t>Times to Recharge Min Time</t>
  </si>
  <si>
    <t>Times to Recharge Max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</si>
</sst>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_-* #,##0.0_-;\-* #,##0.0_-;_-* &quot;-&quot;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NumberFormat="1" applyFont="1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  <xf numFmtId="165" fontId="0" fillId="0" borderId="0" xfId="0" applyNumberForma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27B24-0048-4A09-851D-B90BC3DD53FF}">
  <dimension ref="A1:F33"/>
  <sheetViews>
    <sheetView tabSelected="1" workbookViewId="0">
      <selection activeCell="D7" sqref="D7"/>
    </sheetView>
  </sheetViews>
  <sheetFormatPr defaultRowHeight="14.4" x14ac:dyDescent="0.3"/>
  <cols>
    <col min="1" max="1" width="36.21875" bestFit="1" customWidth="1"/>
    <col min="2" max="2" width="14.33203125" bestFit="1" customWidth="1"/>
    <col min="3" max="3" width="12.6640625" bestFit="1" customWidth="1"/>
    <col min="5" max="5" width="20.33203125" bestFit="1" customWidth="1"/>
    <col min="6" max="6" width="5" bestFit="1" customWidth="1"/>
    <col min="8" max="8" width="28.6640625" bestFit="1" customWidth="1"/>
    <col min="9" max="9" width="12" bestFit="1" customWidth="1"/>
  </cols>
  <sheetData>
    <row r="1" spans="1:6" x14ac:dyDescent="0.3">
      <c r="A1" t="s">
        <v>0</v>
      </c>
      <c r="B1">
        <v>100</v>
      </c>
      <c r="C1">
        <f>B1+C2</f>
        <v>120</v>
      </c>
    </row>
    <row r="2" spans="1:6" x14ac:dyDescent="0.3">
      <c r="A2" t="s">
        <v>14</v>
      </c>
      <c r="B2">
        <v>0</v>
      </c>
      <c r="C2">
        <v>20</v>
      </c>
    </row>
    <row r="3" spans="1:6" x14ac:dyDescent="0.3">
      <c r="B3" s="3" t="s">
        <v>4</v>
      </c>
      <c r="C3" s="3" t="s">
        <v>9</v>
      </c>
      <c r="E3" t="s">
        <v>1</v>
      </c>
      <c r="F3">
        <v>3</v>
      </c>
    </row>
    <row r="4" spans="1:6" x14ac:dyDescent="0.3">
      <c r="A4" t="s">
        <v>22</v>
      </c>
      <c r="B4">
        <v>5</v>
      </c>
      <c r="C4">
        <v>5</v>
      </c>
      <c r="E4" t="s">
        <v>3</v>
      </c>
      <c r="F4" s="2">
        <v>20</v>
      </c>
    </row>
    <row r="5" spans="1:6" x14ac:dyDescent="0.3">
      <c r="A5" t="s">
        <v>23</v>
      </c>
      <c r="B5">
        <v>10</v>
      </c>
      <c r="C5">
        <v>10</v>
      </c>
      <c r="E5" t="s">
        <v>2</v>
      </c>
      <c r="F5" s="5">
        <f>B1+F3*F4</f>
        <v>160</v>
      </c>
    </row>
    <row r="6" spans="1:6" x14ac:dyDescent="0.3">
      <c r="A6" t="s">
        <v>6</v>
      </c>
      <c r="B6">
        <v>1</v>
      </c>
      <c r="C6">
        <v>4</v>
      </c>
    </row>
    <row r="7" spans="1:6" x14ac:dyDescent="0.3">
      <c r="A7" t="s">
        <v>12</v>
      </c>
      <c r="B7">
        <v>0.5</v>
      </c>
      <c r="C7">
        <v>0.5</v>
      </c>
    </row>
    <row r="8" spans="1:6" x14ac:dyDescent="0.3">
      <c r="A8" t="s">
        <v>7</v>
      </c>
      <c r="B8">
        <v>20</v>
      </c>
      <c r="C8">
        <v>20</v>
      </c>
    </row>
    <row r="9" spans="1:6" x14ac:dyDescent="0.3">
      <c r="A9" t="s">
        <v>10</v>
      </c>
      <c r="B9">
        <v>5</v>
      </c>
      <c r="C9">
        <v>5</v>
      </c>
    </row>
    <row r="10" spans="1:6" x14ac:dyDescent="0.3">
      <c r="A10" t="s">
        <v>18</v>
      </c>
      <c r="B10">
        <v>0</v>
      </c>
      <c r="C10">
        <v>5</v>
      </c>
    </row>
    <row r="11" spans="1:6" x14ac:dyDescent="0.3">
      <c r="A11" t="s">
        <v>19</v>
      </c>
      <c r="B11">
        <v>1</v>
      </c>
      <c r="C11">
        <v>2</v>
      </c>
    </row>
    <row r="12" spans="1:6" x14ac:dyDescent="0.3">
      <c r="A12" t="s">
        <v>20</v>
      </c>
      <c r="B12">
        <v>0</v>
      </c>
      <c r="C12">
        <v>10</v>
      </c>
    </row>
    <row r="13" spans="1:6" x14ac:dyDescent="0.3">
      <c r="A13" t="s">
        <v>21</v>
      </c>
      <c r="B13">
        <v>3</v>
      </c>
      <c r="C13">
        <v>5</v>
      </c>
    </row>
    <row r="15" spans="1:6" x14ac:dyDescent="0.3">
      <c r="A15" s="3" t="s">
        <v>15</v>
      </c>
    </row>
    <row r="16" spans="1:6" x14ac:dyDescent="0.3">
      <c r="A16" t="s">
        <v>5</v>
      </c>
      <c r="B16">
        <f>B8*B11</f>
        <v>20</v>
      </c>
      <c r="C16">
        <f>C8*C11</f>
        <v>40</v>
      </c>
    </row>
    <row r="17" spans="1:3" x14ac:dyDescent="0.3">
      <c r="A17" t="s">
        <v>11</v>
      </c>
      <c r="B17">
        <f>B9*B10</f>
        <v>0</v>
      </c>
      <c r="C17">
        <f>C9*C10</f>
        <v>25</v>
      </c>
    </row>
    <row r="19" spans="1:3" x14ac:dyDescent="0.3">
      <c r="A19" t="s">
        <v>16</v>
      </c>
      <c r="B19">
        <f>B1-(B16+B17)</f>
        <v>80</v>
      </c>
      <c r="C19">
        <f>C1-(C16+C17)</f>
        <v>55</v>
      </c>
    </row>
    <row r="20" spans="1:3" x14ac:dyDescent="0.3">
      <c r="A20" t="s">
        <v>13</v>
      </c>
      <c r="B20">
        <f>(B19)/B7</f>
        <v>160</v>
      </c>
      <c r="C20">
        <f>(C19)/C7</f>
        <v>110</v>
      </c>
    </row>
    <row r="21" spans="1:3" x14ac:dyDescent="0.3">
      <c r="A21" t="s">
        <v>8</v>
      </c>
      <c r="B21" s="1">
        <f>B20/60</f>
        <v>2.6666666666666665</v>
      </c>
      <c r="C21">
        <f>C20/60</f>
        <v>1.8333333333333333</v>
      </c>
    </row>
    <row r="23" spans="1:3" x14ac:dyDescent="0.3">
      <c r="A23" t="s">
        <v>24</v>
      </c>
      <c r="B23" s="4">
        <f>B4/B21-1</f>
        <v>0.875</v>
      </c>
      <c r="C23" s="4">
        <f>C4/C21-1</f>
        <v>1.7272727272727275</v>
      </c>
    </row>
    <row r="25" spans="1:3" x14ac:dyDescent="0.3">
      <c r="A25" s="3" t="s">
        <v>17</v>
      </c>
    </row>
    <row r="26" spans="1:3" x14ac:dyDescent="0.3">
      <c r="A26" t="s">
        <v>5</v>
      </c>
      <c r="B26">
        <f>B8*B13</f>
        <v>60</v>
      </c>
      <c r="C26">
        <f>C8*C13</f>
        <v>100</v>
      </c>
    </row>
    <row r="27" spans="1:3" x14ac:dyDescent="0.3">
      <c r="A27" t="s">
        <v>11</v>
      </c>
      <c r="B27">
        <f>B9*B12</f>
        <v>0</v>
      </c>
      <c r="C27">
        <f>C9*C12</f>
        <v>50</v>
      </c>
    </row>
    <row r="29" spans="1:3" x14ac:dyDescent="0.3">
      <c r="A29" t="s">
        <v>16</v>
      </c>
      <c r="B29">
        <f>B$1-(B26+B27)</f>
        <v>40</v>
      </c>
      <c r="C29">
        <f>C$1-(C26+C27)</f>
        <v>-30</v>
      </c>
    </row>
    <row r="30" spans="1:3" x14ac:dyDescent="0.3">
      <c r="A30" t="s">
        <v>13</v>
      </c>
      <c r="B30">
        <f>(B29)/B$7</f>
        <v>80</v>
      </c>
      <c r="C30">
        <f>(C29)/C$7</f>
        <v>-60</v>
      </c>
    </row>
    <row r="31" spans="1:3" x14ac:dyDescent="0.3">
      <c r="A31" t="s">
        <v>8</v>
      </c>
      <c r="B31" s="1">
        <f>B30/60</f>
        <v>1.3333333333333333</v>
      </c>
      <c r="C31" s="1">
        <f>C30/60</f>
        <v>-1</v>
      </c>
    </row>
    <row r="33" spans="1:3" x14ac:dyDescent="0.3">
      <c r="A33" t="s">
        <v>25</v>
      </c>
      <c r="B33" s="4">
        <f>B5/B31-1</f>
        <v>6.5</v>
      </c>
      <c r="C33" s="4">
        <f>C5/C31</f>
        <v>-10</v>
      </c>
    </row>
  </sheetData>
  <pageMargins left="0.511811024" right="0.511811024" top="0.78740157499999996" bottom="0.78740157499999996" header="0.31496062000000002" footer="0.31496062000000002"/>
  <headerFooter>
    <oddFooter>&amp;L_x000D_&amp;1#&amp;"Calibri"&amp;10&amp;K000000 Classification: General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8235BE0D408F48BF4685F991C0C219" ma:contentTypeVersion="16" ma:contentTypeDescription="Create a new document." ma:contentTypeScope="" ma:versionID="f9d42158607e18f5612ff840558fd4b5">
  <xsd:schema xmlns:xsd="http://www.w3.org/2001/XMLSchema" xmlns:xs="http://www.w3.org/2001/XMLSchema" xmlns:p="http://schemas.microsoft.com/office/2006/metadata/properties" xmlns:ns1="http://schemas.microsoft.com/sharepoint/v3" xmlns:ns3="83960a05-1307-4eac-9249-f73bc92518e9" xmlns:ns4="6a46cd2e-c67b-418a-b6c4-348011ce3ef4" targetNamespace="http://schemas.microsoft.com/office/2006/metadata/properties" ma:root="true" ma:fieldsID="e6e8a9d8c41f062237cc3006b80ef87d" ns1:_="" ns3:_="" ns4:_="">
    <xsd:import namespace="http://schemas.microsoft.com/sharepoint/v3"/>
    <xsd:import namespace="83960a05-1307-4eac-9249-f73bc92518e9"/>
    <xsd:import namespace="6a46cd2e-c67b-418a-b6c4-348011ce3ef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1:_ip_UnifiedCompliancePolicyProperties" minOccurs="0"/>
                <xsd:element ref="ns1:_ip_UnifiedCompliancePolicyUIAc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960a05-1307-4eac-9249-f73bc92518e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46cd2e-c67b-418a-b6c4-348011ce3ef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_activity xmlns="83960a05-1307-4eac-9249-f73bc92518e9" xsi:nil="true"/>
  </documentManagement>
</p:properties>
</file>

<file path=customXml/itemProps1.xml><?xml version="1.0" encoding="utf-8"?>
<ds:datastoreItem xmlns:ds="http://schemas.openxmlformats.org/officeDocument/2006/customXml" ds:itemID="{B6EB2024-8C5F-4CF3-8867-330A64F9A1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3960a05-1307-4eac-9249-f73bc92518e9"/>
    <ds:schemaRef ds:uri="6a46cd2e-c67b-418a-b6c4-348011ce3e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A426D7-FEB2-4DE9-BC25-F844A3AC850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C516C6-96DC-4F95-AACC-FE7F1D11FA41}">
  <ds:schemaRefs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6a46cd2e-c67b-418a-b6c4-348011ce3ef4"/>
    <ds:schemaRef ds:uri="http://schemas.microsoft.com/office/infopath/2007/PartnerControls"/>
    <ds:schemaRef ds:uri="83960a05-1307-4eac-9249-f73bc92518e9"/>
    <ds:schemaRef ds:uri="http://schemas.microsoft.com/sharepoint/v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Renee Camillo Pollet</dc:creator>
  <cp:lastModifiedBy>Renee Camillo Pollet</cp:lastModifiedBy>
  <dcterms:created xsi:type="dcterms:W3CDTF">2024-10-05T03:04:41Z</dcterms:created>
  <dcterms:modified xsi:type="dcterms:W3CDTF">2024-10-05T03:51:05Z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0cf1ce-8cdf-4ab4-bc8c-1b18f9d490a2_Enabled">
    <vt:lpwstr>true</vt:lpwstr>
  </property>
  <property fmtid="{D5CDD505-2E9C-101B-9397-08002B2CF9AE}" pid="3" name="MSIP_Label_d50cf1ce-8cdf-4ab4-bc8c-1b18f9d490a2_SetDate">
    <vt:lpwstr>2024-10-05T03:50:02Z</vt:lpwstr>
  </property>
  <property fmtid="{D5CDD505-2E9C-101B-9397-08002B2CF9AE}" pid="4" name="MSIP_Label_d50cf1ce-8cdf-4ab4-bc8c-1b18f9d490a2_Method">
    <vt:lpwstr>Standard</vt:lpwstr>
  </property>
  <property fmtid="{D5CDD505-2E9C-101B-9397-08002B2CF9AE}" pid="5" name="MSIP_Label_d50cf1ce-8cdf-4ab4-bc8c-1b18f9d490a2_Name">
    <vt:lpwstr>General</vt:lpwstr>
  </property>
  <property fmtid="{D5CDD505-2E9C-101B-9397-08002B2CF9AE}" pid="6" name="MSIP_Label_d50cf1ce-8cdf-4ab4-bc8c-1b18f9d490a2_SiteId">
    <vt:lpwstr>8f11c6f4-648e-4c0c-bb99-96e8408a8e2a</vt:lpwstr>
  </property>
  <property fmtid="{D5CDD505-2E9C-101B-9397-08002B2CF9AE}" pid="7" name="MSIP_Label_d50cf1ce-8cdf-4ab4-bc8c-1b18f9d490a2_ActionId">
    <vt:lpwstr>4da060de-94c2-4984-bf12-1dcb5068f2b2</vt:lpwstr>
  </property>
  <property fmtid="{D5CDD505-2E9C-101B-9397-08002B2CF9AE}" pid="8" name="MSIP_Label_d50cf1ce-8cdf-4ab4-bc8c-1b18f9d490a2_ContentBits">
    <vt:lpwstr>2</vt:lpwstr>
  </property>
  <property fmtid="{D5CDD505-2E9C-101B-9397-08002B2CF9AE}" pid="9" name="ContentTypeId">
    <vt:lpwstr>0x0101009F8235BE0D408F48BF4685F991C0C219</vt:lpwstr>
  </property>
</Properties>
</file>